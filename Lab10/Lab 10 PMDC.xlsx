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<sst xmlns="http://schemas.openxmlformats.org/spreadsheetml/2006/main" count="33" uniqueCount="32">
  <si>
    <t>Original OL gain</t>
  </si>
  <si>
    <t>For Motor PID Lab: Finding Open Loop Gain, OL_gain</t>
  </si>
  <si>
    <t>Open Loop Gain, OL_gain = 0.7456875759374906 [N·m·s/rad]</t>
  </si>
  <si>
    <t>R^2 = 0.9837171223685393</t>
  </si>
  <si>
    <t>y-intercept = 0.0</t>
  </si>
  <si>
    <t>wm ref [rad/s]</t>
  </si>
  <si>
    <t>wm exp [rad/s]</t>
  </si>
  <si>
    <t>PWM out [Int]</t>
  </si>
  <si>
    <t>wm error [rad/s]</t>
  </si>
  <si>
    <t>Percent Error [%]</t>
  </si>
  <si>
    <t>13:59:12.199 -&gt; Wmref:350.00, Wmexp:366.49, PWM:255, Wmerror:-16.49</t>
  </si>
  <si>
    <t>13:58:12.322 -&gt; Wmref:300.00, Wmexp:303.69, PWM:224, Wmerror:-3.69</t>
  </si>
  <si>
    <t>14:00:31.117 -&gt; Wmref:250.00, Wmexp:261.80, PWM:186, Wmerror:-11.80</t>
  </si>
  <si>
    <t>Original OL Gain</t>
  </si>
  <si>
    <t>Tuned OL Gain</t>
  </si>
  <si>
    <t>Values</t>
  </si>
  <si>
    <t>Units</t>
  </si>
  <si>
    <t>Mass</t>
  </si>
  <si>
    <t>kg</t>
  </si>
  <si>
    <t>thickness</t>
  </si>
  <si>
    <t>m</t>
  </si>
  <si>
    <t>radius</t>
  </si>
  <si>
    <t>Final Values</t>
  </si>
  <si>
    <t>Kp</t>
  </si>
  <si>
    <t>Ki</t>
  </si>
  <si>
    <t>Kd</t>
  </si>
  <si>
    <t>test 1</t>
  </si>
  <si>
    <t>kp=0.05</t>
  </si>
  <si>
    <t>ki=0.1</t>
  </si>
  <si>
    <t>test 1 loaded</t>
  </si>
  <si>
    <t>Unloaded</t>
  </si>
  <si>
    <t>Loaded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</si>
</sst>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%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E5B61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1" numFmtId="164" xfId="0" applyFont="1" applyNumberFormat="1"/>
    <xf borderId="0" fillId="2" fontId="3" numFmtId="0" xfId="0" applyAlignment="1" applyFill="1" applyFont="1">
      <alignment readingOrder="0" shrinkToFit="0" wrapText="0"/>
    </xf>
    <xf borderId="0" fillId="2" fontId="3" numFmtId="0" xfId="0" applyAlignment="1" applyFont="1">
      <alignment shrinkToFit="0" wrapText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png"/><Relationship Id="rId10" Type="http://schemas.openxmlformats.org/officeDocument/2006/relationships/image" Target="../media/image1.png"/><Relationship Id="rId13" Type="http://schemas.openxmlformats.org/officeDocument/2006/relationships/image" Target="../media/image9.png"/><Relationship Id="rId12" Type="http://schemas.openxmlformats.org/officeDocument/2006/relationships/image" Target="../media/image11.png"/><Relationship Id="rId1" Type="http://schemas.openxmlformats.org/officeDocument/2006/relationships/image" Target="../media/image10.png"/><Relationship Id="rId2" Type="http://schemas.openxmlformats.org/officeDocument/2006/relationships/image" Target="../media/image8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9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12.png"/><Relationship Id="rId7" Type="http://schemas.openxmlformats.org/officeDocument/2006/relationships/image" Target="../media/image2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24</xdr:row>
      <xdr:rowOff>133350</xdr:rowOff>
    </xdr:from>
    <xdr:ext cx="9229725" cy="47053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638175</xdr:colOff>
      <xdr:row>0</xdr:row>
      <xdr:rowOff>0</xdr:rowOff>
    </xdr:from>
    <xdr:ext cx="5981700" cy="4448175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0</xdr:rowOff>
    </xdr:from>
    <xdr:ext cx="9248775" cy="468630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</xdr:row>
      <xdr:rowOff>0</xdr:rowOff>
    </xdr:from>
    <xdr:ext cx="9286875" cy="4638675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99</xdr:row>
      <xdr:rowOff>200025</xdr:rowOff>
    </xdr:from>
    <xdr:ext cx="7991475" cy="375285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120</xdr:row>
      <xdr:rowOff>0</xdr:rowOff>
    </xdr:from>
    <xdr:ext cx="4876800" cy="2266950"/>
    <xdr:pic>
      <xdr:nvPicPr>
        <xdr:cNvPr id="0" name="image1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133</xdr:row>
      <xdr:rowOff>0</xdr:rowOff>
    </xdr:from>
    <xdr:ext cx="4867275" cy="2781300"/>
    <xdr:pic>
      <xdr:nvPicPr>
        <xdr:cNvPr id="0" name="image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148</xdr:row>
      <xdr:rowOff>0</xdr:rowOff>
    </xdr:from>
    <xdr:ext cx="9448800" cy="4295775"/>
    <xdr:pic>
      <xdr:nvPicPr>
        <xdr:cNvPr id="0" name="image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188</xdr:row>
      <xdr:rowOff>28575</xdr:rowOff>
    </xdr:from>
    <xdr:ext cx="4876800" cy="3209925"/>
    <xdr:pic>
      <xdr:nvPicPr>
        <xdr:cNvPr id="0" name="image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172</xdr:row>
      <xdr:rowOff>171450</xdr:rowOff>
    </xdr:from>
    <xdr:ext cx="4876800" cy="2762250"/>
    <xdr:pic>
      <xdr:nvPicPr>
        <xdr:cNvPr id="0" name="image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205</xdr:row>
      <xdr:rowOff>180975</xdr:rowOff>
    </xdr:from>
    <xdr:ext cx="4876800" cy="3162300"/>
    <xdr:pic>
      <xdr:nvPicPr>
        <xdr:cNvPr id="0" name="image1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-266700</xdr:colOff>
      <xdr:row>205</xdr:row>
      <xdr:rowOff>180975</xdr:rowOff>
    </xdr:from>
    <xdr:ext cx="3362325" cy="933450"/>
    <xdr:pic>
      <xdr:nvPicPr>
        <xdr:cNvPr id="0" name="image1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224</xdr:row>
      <xdr:rowOff>0</xdr:rowOff>
    </xdr:from>
    <xdr:ext cx="4876800" cy="3152775"/>
    <xdr:pic>
      <xdr:nvPicPr>
        <xdr:cNvPr id="0" name="image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2">
      <c r="B2" s="1" t="s">
        <v>0</v>
      </c>
    </row>
    <row r="3">
      <c r="B3" s="1" t="s">
        <v>1</v>
      </c>
      <c r="G3" s="2"/>
    </row>
    <row r="4">
      <c r="B4" s="1" t="s">
        <v>2</v>
      </c>
    </row>
    <row r="5">
      <c r="B5" s="1" t="s">
        <v>3</v>
      </c>
    </row>
    <row r="6">
      <c r="B6" s="1" t="s">
        <v>4</v>
      </c>
    </row>
    <row r="9"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</row>
    <row r="10">
      <c r="B10" s="3">
        <v>250.0</v>
      </c>
      <c r="C10" s="1">
        <v>261.8</v>
      </c>
      <c r="D10" s="1">
        <v>186.0</v>
      </c>
      <c r="E10" s="1">
        <v>-11.8</v>
      </c>
      <c r="F10" s="4">
        <f t="shared" ref="F10:F12" si="1">(C10-B10)/B10</f>
        <v>0.0472</v>
      </c>
    </row>
    <row r="11">
      <c r="B11" s="3">
        <v>300.0</v>
      </c>
      <c r="C11" s="1">
        <v>303.69</v>
      </c>
      <c r="D11" s="1">
        <v>224.0</v>
      </c>
      <c r="E11" s="1">
        <v>-0.369</v>
      </c>
      <c r="F11" s="4">
        <f t="shared" si="1"/>
        <v>0.0123</v>
      </c>
    </row>
    <row r="12">
      <c r="B12" s="3">
        <v>350.0</v>
      </c>
      <c r="C12" s="1">
        <v>366.49</v>
      </c>
      <c r="D12" s="1">
        <v>255.0</v>
      </c>
      <c r="E12" s="1">
        <v>-16.49</v>
      </c>
      <c r="F12" s="4">
        <f t="shared" si="1"/>
        <v>0.04711428571</v>
      </c>
    </row>
    <row r="13">
      <c r="B13" s="5"/>
    </row>
    <row r="14">
      <c r="B14" s="5" t="s">
        <v>10</v>
      </c>
    </row>
    <row r="15">
      <c r="B15" s="5" t="s">
        <v>11</v>
      </c>
    </row>
    <row r="16">
      <c r="B16" s="5" t="s">
        <v>12</v>
      </c>
    </row>
    <row r="17">
      <c r="B17" s="6"/>
    </row>
    <row r="18">
      <c r="B18" s="1" t="s">
        <v>13</v>
      </c>
      <c r="C18" s="1">
        <v>0.74568757593749</v>
      </c>
    </row>
    <row r="19">
      <c r="B19" s="1" t="s">
        <v>14</v>
      </c>
      <c r="C19" s="7">
        <v>0.7</v>
      </c>
    </row>
    <row r="21">
      <c r="B21" s="8"/>
      <c r="C21" s="3" t="s">
        <v>15</v>
      </c>
      <c r="D21" s="3" t="s">
        <v>16</v>
      </c>
    </row>
    <row r="22">
      <c r="B22" s="3" t="s">
        <v>17</v>
      </c>
      <c r="C22" s="1">
        <v>0.39</v>
      </c>
      <c r="D22" s="1" t="s">
        <v>18</v>
      </c>
    </row>
    <row r="23">
      <c r="B23" s="3" t="s">
        <v>19</v>
      </c>
      <c r="C23" s="1">
        <v>0.006</v>
      </c>
      <c r="D23" s="1" t="s">
        <v>20</v>
      </c>
    </row>
    <row r="24">
      <c r="B24" s="3" t="s">
        <v>21</v>
      </c>
      <c r="C24" s="1">
        <v>0.1015</v>
      </c>
      <c r="D24" s="1" t="s">
        <v>20</v>
      </c>
    </row>
    <row r="26">
      <c r="B26" s="8"/>
      <c r="C26" s="3" t="s">
        <v>22</v>
      </c>
    </row>
    <row r="27">
      <c r="B27" s="3" t="s">
        <v>23</v>
      </c>
      <c r="C27" s="1">
        <v>0.05</v>
      </c>
    </row>
    <row r="28">
      <c r="B28" s="3" t="s">
        <v>24</v>
      </c>
      <c r="C28" s="1">
        <v>0.1</v>
      </c>
    </row>
    <row r="29">
      <c r="B29" s="3" t="s">
        <v>25</v>
      </c>
      <c r="C29" s="1">
        <v>0.0</v>
      </c>
    </row>
    <row r="174">
      <c r="G174" s="1" t="s">
        <v>26</v>
      </c>
    </row>
    <row r="175">
      <c r="G175" s="1" t="s">
        <v>27</v>
      </c>
    </row>
    <row r="176">
      <c r="G176" s="1" t="s">
        <v>28</v>
      </c>
    </row>
    <row r="189">
      <c r="G189" s="1" t="s">
        <v>29</v>
      </c>
    </row>
    <row r="212">
      <c r="E212" s="1" t="s">
        <v>30</v>
      </c>
    </row>
    <row r="225">
      <c r="E225" s="1" t="s">
        <v>31</v>
      </c>
    </row>
  </sheetData>
  <drawing r:id="rId1"/>
</worksheet>
</file>