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lejandrodiaz/Downloads/School/DSCLab-ME144L/Lab9/"/>
    </mc:Choice>
  </mc:AlternateContent>
  <xr:revisionPtr revIDLastSave="0" documentId="13_ncr:1_{2A03FAA2-4F22-DD4C-9E5A-4369F2B42357}" xr6:coauthVersionLast="47" xr6:coauthVersionMax="47" xr10:uidLastSave="{00000000-0000-0000-0000-000000000000}"/>
  <bookViews>
    <workbookView xWindow="1440" yWindow="600" windowWidth="16680" windowHeight="15940" activeTab="1" xr2:uid="{00000000-000D-0000-FFFF-FFFF00000000}"/>
  </bookViews>
  <sheets>
    <sheet name="Sheet1" sheetId="1" r:id="rId1"/>
    <sheet name="Correct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9" i="1"/>
  <c r="E19" i="1"/>
  <c r="E18" i="1"/>
  <c r="F18" i="1" s="1"/>
  <c r="E17" i="1"/>
  <c r="F17" i="1" s="1"/>
  <c r="F16" i="1"/>
  <c r="E16" i="1"/>
  <c r="E15" i="1"/>
  <c r="F15" i="1" s="1"/>
  <c r="E14" i="1"/>
  <c r="F14" i="1" s="1"/>
  <c r="E13" i="1"/>
  <c r="F13" i="1" s="1"/>
  <c r="F12" i="1"/>
  <c r="E12" i="1"/>
  <c r="E11" i="1"/>
  <c r="F11" i="1" s="1"/>
  <c r="E10" i="1"/>
  <c r="F10" i="1" s="1"/>
  <c r="F9" i="1"/>
  <c r="E9" i="1"/>
  <c r="E8" i="1"/>
</calcChain>
</file>

<file path=xl/sharedStrings.xml><?xml version="1.0" encoding="utf-8"?>
<sst xmlns="http://schemas.openxmlformats.org/spreadsheetml/2006/main" count="18" uniqueCount="11">
  <si>
    <t>https://www.notion.so/gab-naquila/Sp26-Lab-9-Motor-Shared-337ad7556a928023b965eb8b6eb4efa9</t>
  </si>
  <si>
    <t>R_m</t>
  </si>
  <si>
    <t>Ohm</t>
  </si>
  <si>
    <t>V_s</t>
  </si>
  <si>
    <t>V</t>
  </si>
  <si>
    <t>PWN</t>
  </si>
  <si>
    <t>w_o(RPM)</t>
  </si>
  <si>
    <t>w_m (RPM)</t>
  </si>
  <si>
    <t>Vin</t>
  </si>
  <si>
    <t>Current (mA)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</si>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</sst>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gab-naquila/Sp26-Lab-9-Motor-Shared-337ad7556a928023b965eb8b6eb4ef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19"/>
  <sheetViews>
    <sheetView workbookViewId="0">
      <selection activeCell="D18" sqref="D18"/>
    </sheetView>
  </sheetViews>
  <sheetFormatPr baseColWidth="10" defaultColWidth="12.6640625" defaultRowHeight="15.75" customHeight="1" x14ac:dyDescent="0.15"/>
  <sheetData>
    <row r="1" spans="2:6" ht="15.75" customHeight="1" x14ac:dyDescent="0.15">
      <c r="B1" s="1" t="s">
        <v>0</v>
      </c>
    </row>
    <row r="3" spans="2:6" ht="15.75" customHeight="1" x14ac:dyDescent="0.15">
      <c r="B3" s="2" t="s">
        <v>1</v>
      </c>
      <c r="C3" s="2">
        <v>26.9</v>
      </c>
      <c r="D3" s="2" t="s">
        <v>2</v>
      </c>
    </row>
    <row r="4" spans="2:6" ht="15.75" customHeight="1" x14ac:dyDescent="0.15">
      <c r="B4" s="2" t="s">
        <v>3</v>
      </c>
      <c r="C4" s="2">
        <v>4.82</v>
      </c>
      <c r="D4" s="2" t="s">
        <v>4</v>
      </c>
    </row>
    <row r="7" spans="2:6" ht="15.75" customHeight="1" x14ac:dyDescent="0.15"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2:6" ht="15.75" customHeight="1" x14ac:dyDescent="0.15">
      <c r="B8" s="2">
        <v>255</v>
      </c>
      <c r="C8" s="2">
        <v>3800</v>
      </c>
      <c r="D8" s="2">
        <v>84.67</v>
      </c>
      <c r="E8" s="2">
        <f t="shared" ref="E8:E19" si="0">(B8/255)*$C$4</f>
        <v>4.82</v>
      </c>
      <c r="F8" s="2">
        <f>E8/$C$3</f>
        <v>0.17918215613382901</v>
      </c>
    </row>
    <row r="9" spans="2:6" ht="15.75" customHeight="1" x14ac:dyDescent="0.15">
      <c r="B9" s="2">
        <v>230</v>
      </c>
      <c r="C9" s="2">
        <v>3380</v>
      </c>
      <c r="D9" s="2">
        <v>75.11</v>
      </c>
      <c r="E9" s="2">
        <f t="shared" si="0"/>
        <v>4.347450980392157</v>
      </c>
      <c r="F9" s="2">
        <f t="shared" ref="F8:F19" si="1">E9/$C$3</f>
        <v>0.16161527808149284</v>
      </c>
    </row>
    <row r="10" spans="2:6" ht="15.75" customHeight="1" x14ac:dyDescent="0.15">
      <c r="B10" s="2">
        <v>205</v>
      </c>
      <c r="C10" s="2">
        <v>2970</v>
      </c>
      <c r="D10" s="2">
        <v>66.22</v>
      </c>
      <c r="E10" s="2">
        <f t="shared" si="0"/>
        <v>3.8749019607843143</v>
      </c>
      <c r="F10" s="2">
        <f t="shared" si="1"/>
        <v>0.14404840002915667</v>
      </c>
    </row>
    <row r="11" spans="2:6" ht="15.75" customHeight="1" x14ac:dyDescent="0.15">
      <c r="B11" s="2">
        <v>180</v>
      </c>
      <c r="C11" s="2">
        <v>2640</v>
      </c>
      <c r="D11" s="2">
        <v>58.67</v>
      </c>
      <c r="E11" s="2">
        <f t="shared" si="0"/>
        <v>3.402352941176471</v>
      </c>
      <c r="F11" s="2">
        <f t="shared" si="1"/>
        <v>0.1264815219768205</v>
      </c>
    </row>
    <row r="12" spans="2:6" ht="15.75" customHeight="1" x14ac:dyDescent="0.15">
      <c r="B12" s="2">
        <v>155</v>
      </c>
      <c r="C12" s="2">
        <v>2140</v>
      </c>
      <c r="D12" s="2">
        <v>47.78</v>
      </c>
      <c r="E12" s="2">
        <f t="shared" si="0"/>
        <v>2.9298039215686273</v>
      </c>
      <c r="F12" s="2">
        <f t="shared" si="1"/>
        <v>0.1089146439244843</v>
      </c>
    </row>
    <row r="13" spans="2:6" ht="15.75" customHeight="1" x14ac:dyDescent="0.15">
      <c r="B13" s="2">
        <v>130</v>
      </c>
      <c r="C13" s="2">
        <v>0</v>
      </c>
      <c r="D13" s="2">
        <v>0</v>
      </c>
      <c r="E13" s="2">
        <f t="shared" si="0"/>
        <v>2.4572549019607841</v>
      </c>
      <c r="F13" s="2">
        <f t="shared" si="1"/>
        <v>9.1347765872148115E-2</v>
      </c>
    </row>
    <row r="14" spans="2:6" ht="15.75" customHeight="1" x14ac:dyDescent="0.15">
      <c r="B14" s="2">
        <v>105</v>
      </c>
      <c r="C14" s="2">
        <v>0</v>
      </c>
      <c r="D14" s="2">
        <v>0</v>
      </c>
      <c r="E14" s="2">
        <f t="shared" si="0"/>
        <v>1.9847058823529411</v>
      </c>
      <c r="F14" s="2">
        <f t="shared" si="1"/>
        <v>7.3780887819811944E-2</v>
      </c>
    </row>
    <row r="15" spans="2:6" ht="15.75" customHeight="1" x14ac:dyDescent="0.15">
      <c r="B15" s="2">
        <v>80</v>
      </c>
      <c r="C15" s="2">
        <v>0</v>
      </c>
      <c r="D15" s="2">
        <v>0</v>
      </c>
      <c r="E15" s="2">
        <f t="shared" si="0"/>
        <v>1.5121568627450981</v>
      </c>
      <c r="F15" s="2">
        <f t="shared" si="1"/>
        <v>5.6214009767475766E-2</v>
      </c>
    </row>
    <row r="16" spans="2:6" ht="15.75" customHeight="1" x14ac:dyDescent="0.15">
      <c r="B16" s="2">
        <v>55</v>
      </c>
      <c r="C16" s="2">
        <v>0</v>
      </c>
      <c r="D16" s="2">
        <v>0</v>
      </c>
      <c r="E16" s="2">
        <f t="shared" si="0"/>
        <v>1.0396078431372551</v>
      </c>
      <c r="F16" s="2">
        <f t="shared" si="1"/>
        <v>3.8647131715139595E-2</v>
      </c>
    </row>
    <row r="17" spans="2:6" ht="15.75" customHeight="1" x14ac:dyDescent="0.15">
      <c r="B17" s="2">
        <v>30</v>
      </c>
      <c r="C17" s="2">
        <v>0</v>
      </c>
      <c r="D17" s="2">
        <v>0</v>
      </c>
      <c r="E17" s="2">
        <f t="shared" si="0"/>
        <v>0.56705882352941184</v>
      </c>
      <c r="F17" s="2">
        <f t="shared" si="1"/>
        <v>2.1080253662803417E-2</v>
      </c>
    </row>
    <row r="18" spans="2:6" ht="15.75" customHeight="1" x14ac:dyDescent="0.15">
      <c r="B18" s="2">
        <v>5</v>
      </c>
      <c r="C18" s="2">
        <v>0</v>
      </c>
      <c r="D18" s="2">
        <v>0</v>
      </c>
      <c r="E18" s="2">
        <f t="shared" si="0"/>
        <v>9.450980392156863E-2</v>
      </c>
      <c r="F18" s="2">
        <f t="shared" si="1"/>
        <v>3.5133756104672354E-3</v>
      </c>
    </row>
    <row r="19" spans="2:6" ht="15.75" customHeight="1" x14ac:dyDescent="0.15">
      <c r="B19" s="2">
        <v>0</v>
      </c>
      <c r="C19" s="2">
        <v>0</v>
      </c>
      <c r="D19" s="2">
        <v>0</v>
      </c>
      <c r="E19" s="2">
        <f t="shared" si="0"/>
        <v>0</v>
      </c>
      <c r="F19" s="2">
        <f t="shared" si="1"/>
        <v>0</v>
      </c>
    </row>
  </sheetData>
  <hyperlinks>
    <hyperlink ref="B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AC6F-FC3A-7F4D-9BAA-F3A91A2B99A5}">
  <dimension ref="B2:E17"/>
  <sheetViews>
    <sheetView tabSelected="1" workbookViewId="0">
      <selection activeCell="H17" sqref="H17"/>
    </sheetView>
  </sheetViews>
  <sheetFormatPr baseColWidth="10" defaultRowHeight="13" x14ac:dyDescent="0.15"/>
  <sheetData>
    <row r="2" spans="2:5" x14ac:dyDescent="0.15">
      <c r="B2" s="2" t="s">
        <v>1</v>
      </c>
      <c r="C2" s="2">
        <v>26.9</v>
      </c>
      <c r="D2" s="2" t="s">
        <v>2</v>
      </c>
    </row>
    <row r="3" spans="2:5" x14ac:dyDescent="0.15">
      <c r="B3" s="2" t="s">
        <v>3</v>
      </c>
      <c r="C3" s="2">
        <v>4.82</v>
      </c>
      <c r="D3" s="2" t="s">
        <v>4</v>
      </c>
    </row>
    <row r="5" spans="2:5" x14ac:dyDescent="0.15">
      <c r="B5" s="3" t="s">
        <v>10</v>
      </c>
      <c r="C5" s="2" t="s">
        <v>6</v>
      </c>
      <c r="D5" s="2" t="s">
        <v>7</v>
      </c>
      <c r="E5" s="2" t="s">
        <v>9</v>
      </c>
    </row>
    <row r="6" spans="2:5" x14ac:dyDescent="0.15">
      <c r="B6">
        <v>255</v>
      </c>
      <c r="C6">
        <v>80.89</v>
      </c>
      <c r="D6">
        <v>3639.97</v>
      </c>
      <c r="E6">
        <v>25.6</v>
      </c>
    </row>
    <row r="7" spans="2:5" x14ac:dyDescent="0.15">
      <c r="B7">
        <v>230</v>
      </c>
      <c r="C7" s="4">
        <v>72.44</v>
      </c>
      <c r="D7">
        <v>3249.97</v>
      </c>
      <c r="E7">
        <v>24.3</v>
      </c>
    </row>
    <row r="8" spans="2:5" x14ac:dyDescent="0.15">
      <c r="B8" s="2">
        <v>205</v>
      </c>
      <c r="C8">
        <v>63.33</v>
      </c>
      <c r="D8">
        <v>2840</v>
      </c>
      <c r="E8">
        <v>23.7</v>
      </c>
    </row>
    <row r="9" spans="2:5" x14ac:dyDescent="0.15">
      <c r="B9" s="2">
        <v>180</v>
      </c>
      <c r="C9" s="4">
        <v>54.22</v>
      </c>
      <c r="D9">
        <v>2450</v>
      </c>
      <c r="E9">
        <v>23</v>
      </c>
    </row>
    <row r="10" spans="2:5" x14ac:dyDescent="0.15">
      <c r="B10" s="2">
        <v>155</v>
      </c>
      <c r="C10">
        <v>45.33</v>
      </c>
      <c r="D10">
        <v>2029.98</v>
      </c>
      <c r="E10">
        <v>21.8</v>
      </c>
    </row>
    <row r="11" spans="2:5" x14ac:dyDescent="0.15">
      <c r="B11" s="2">
        <v>130</v>
      </c>
      <c r="C11" s="4">
        <v>36.67</v>
      </c>
      <c r="D11">
        <v>1649.99</v>
      </c>
      <c r="E11">
        <v>19.899999999999999</v>
      </c>
    </row>
    <row r="12" spans="2:5" x14ac:dyDescent="0.15">
      <c r="B12" s="2">
        <v>105</v>
      </c>
      <c r="C12">
        <v>27.78</v>
      </c>
      <c r="D12">
        <v>1250</v>
      </c>
      <c r="E12">
        <v>17</v>
      </c>
    </row>
    <row r="13" spans="2:5" x14ac:dyDescent="0.15">
      <c r="B13" s="2">
        <v>80</v>
      </c>
      <c r="C13" s="4">
        <v>19.11</v>
      </c>
      <c r="D13">
        <v>860</v>
      </c>
      <c r="E13">
        <v>13.2</v>
      </c>
    </row>
    <row r="14" spans="2:5" x14ac:dyDescent="0.15">
      <c r="B14" s="2">
        <v>55</v>
      </c>
      <c r="C14">
        <v>10.44</v>
      </c>
      <c r="D14">
        <v>470</v>
      </c>
      <c r="E14">
        <v>8.9</v>
      </c>
    </row>
    <row r="15" spans="2:5" x14ac:dyDescent="0.15">
      <c r="B15" s="2">
        <v>30</v>
      </c>
      <c r="C15" s="4">
        <v>0</v>
      </c>
      <c r="D15">
        <v>0</v>
      </c>
      <c r="E15">
        <v>4.9000000000000004</v>
      </c>
    </row>
    <row r="16" spans="2:5" x14ac:dyDescent="0.15">
      <c r="B16" s="2">
        <v>5</v>
      </c>
      <c r="C16">
        <v>0</v>
      </c>
      <c r="D16">
        <v>0</v>
      </c>
      <c r="E16">
        <v>0.8</v>
      </c>
    </row>
    <row r="17" spans="2:5" x14ac:dyDescent="0.15">
      <c r="B17" s="2">
        <v>0</v>
      </c>
      <c r="C17" s="4">
        <v>0</v>
      </c>
      <c r="D17">
        <v>0</v>
      </c>
      <c r="E1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Diaz, Alejandro J</cp:lastModifiedBy>
  <dcterms:modified xsi:type="dcterms:W3CDTF">2026-04-13T18:08:42Z</dcterms:modified>
</cp:coreProperties>
</file>